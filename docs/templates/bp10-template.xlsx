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問テンプレ" sheetId="1" state="visible" r:id="rId1"/>
    <sheet xmlns:r="http://schemas.openxmlformats.org/officeDocument/2006/relationships" name="集計シート" sheetId="2" state="visible" r:id="rId2"/>
    <sheet xmlns:r="http://schemas.openxmlformats.org/officeDocument/2006/relationships" name="売上予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¥#,##0"/>
  </numFmts>
  <fonts count="10">
    <font>
      <name val="Calibri"/>
      <family val="2"/>
      <color theme="1"/>
      <sz val="11"/>
      <scheme val="minor"/>
    </font>
    <font>
      <name val="Noto Sans JP"/>
      <b val="1"/>
      <color rgb="FF0052CC"/>
      <sz val="9"/>
    </font>
    <font>
      <name val="Noto Sans JP"/>
      <b val="1"/>
      <color rgb="FF1A1A1A"/>
      <sz val="18"/>
    </font>
    <font>
      <name val="Noto Sans JP"/>
      <i val="1"/>
      <color rgb="FF666666"/>
      <sz val="9"/>
    </font>
    <font>
      <name val="Noto Sans JP"/>
      <b val="1"/>
      <color rgb="FF1A1A1A"/>
      <sz val="11"/>
    </font>
    <font>
      <name val="Noto Sans JP"/>
      <b val="1"/>
      <color rgb="FFFFFFFF"/>
      <sz val="10"/>
    </font>
    <font>
      <name val="Noto Sans JP"/>
      <color rgb="FF1A1A1A"/>
      <sz val="10"/>
    </font>
    <font>
      <name val="Noto Sans JP"/>
      <color rgb="FF0000FF"/>
      <sz val="10"/>
    </font>
    <font>
      <name val="Noto Sans JP"/>
      <b val="1"/>
      <color rgb="FF1A1A1A"/>
      <sz val="10"/>
    </font>
    <font>
      <name val="Noto Sans JP"/>
      <b val="1"/>
      <color rgb="FF0052CC"/>
      <sz val="11"/>
    </font>
  </fonts>
  <fills count="5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4F4F4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9" fontId="7" fillId="4" borderId="1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</cols>
  <sheetData>
    <row r="1">
      <c r="B1" s="1" t="inlineStr">
        <is>
          <t>BP-10 SURVEY KIT</t>
        </is>
      </c>
    </row>
    <row r="2">
      <c r="B2" s="2" t="inlineStr">
        <is>
          <t>BP-10 調査キット（0→1案件用）</t>
        </is>
      </c>
    </row>
    <row r="3">
      <c r="B3" s="3" t="inlineStr">
        <is>
          <t>設問設計と集計は当社。配信は貴社名義・貴社リストで実施。大規模なら調査会社と貴社が直接契約。</t>
        </is>
      </c>
    </row>
    <row r="5">
      <c r="B5" s="4" t="inlineStr">
        <is>
          <t>① スクリーニング（4つの基本質問）</t>
        </is>
      </c>
    </row>
    <row r="6">
      <c r="A6" s="5" t="inlineStr"/>
      <c r="B6" s="5" t="inlineStr">
        <is>
          <t>設問</t>
        </is>
      </c>
      <c r="C6" s="5" t="inlineStr">
        <is>
          <t>測定するもの</t>
        </is>
      </c>
    </row>
    <row r="7">
      <c r="A7" s="6" t="n">
        <v>1</v>
      </c>
      <c r="B7" s="7" t="inlineStr">
        <is>
          <t>Q1 このカテゴリーで知っているブランドは？</t>
        </is>
      </c>
      <c r="C7" s="7" t="inlineStr">
        <is>
          <t>純粋想起・精神的アベイラビリティ</t>
        </is>
      </c>
    </row>
    <row r="8">
      <c r="A8" s="8" t="n">
        <v>2</v>
      </c>
      <c r="B8" s="9" t="inlineStr">
        <is>
          <t>Q2 一度でも購入したことがあるブランドは？</t>
        </is>
      </c>
      <c r="C8" s="9" t="inlineStr">
        <is>
          <t>過去購入経験率</t>
        </is>
      </c>
    </row>
    <row r="9">
      <c r="A9" s="6" t="n">
        <v>3</v>
      </c>
      <c r="B9" s="7" t="inlineStr">
        <is>
          <t>Q3 2回以上購入したことがあるブランドは？</t>
        </is>
      </c>
      <c r="C9" s="7" t="inlineStr">
        <is>
          <t>継続・リピート率</t>
        </is>
      </c>
    </row>
    <row r="10">
      <c r="A10" s="8" t="n">
        <v>4</v>
      </c>
      <c r="B10" s="9" t="inlineStr">
        <is>
          <t>Q4 今後購入してもよいブランドは？</t>
        </is>
      </c>
      <c r="C10" s="9" t="inlineStr">
        <is>
          <t>購入意向・想起集合参入</t>
        </is>
      </c>
    </row>
    <row r="12">
      <c r="B12" s="4" t="inlineStr">
        <is>
          <t>② メイン質問（10票の配分）</t>
        </is>
      </c>
    </row>
    <row r="13">
      <c r="B13" s="10" t="inlineStr">
        <is>
          <t>「今後この商品を10回買うとして、今回の新商品と競合各社を、合計10回になるよう振り分けてください」</t>
        </is>
      </c>
    </row>
    <row r="15">
      <c r="B15" s="3" t="inlineStr">
        <is>
          <t>※ 単純な5段階の購入意向は過大予測になる。10票の配分を強いることで実購買に近づける。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TABULATION</t>
        </is>
      </c>
    </row>
    <row r="2">
      <c r="B2" s="2" t="inlineStr">
        <is>
          <t>10票配分 集計シート</t>
        </is>
      </c>
    </row>
    <row r="3">
      <c r="B3" s="3" t="inlineStr">
        <is>
          <t>回答者ごとの配分票（合計10）を入力。コンセプトシェア＝自社の平均得票率。</t>
        </is>
      </c>
    </row>
    <row r="5">
      <c r="B5" s="5" t="inlineStr">
        <is>
          <t>回答者</t>
        </is>
      </c>
      <c r="C5" s="5" t="inlineStr">
        <is>
          <t>自社(新)</t>
        </is>
      </c>
      <c r="D5" s="5" t="inlineStr">
        <is>
          <t>競合A</t>
        </is>
      </c>
      <c r="E5" s="5" t="inlineStr">
        <is>
          <t>競合B</t>
        </is>
      </c>
      <c r="F5" s="5" t="inlineStr">
        <is>
          <t>競合C</t>
        </is>
      </c>
      <c r="G5" s="5" t="inlineStr">
        <is>
          <t>その他</t>
        </is>
      </c>
      <c r="H5" s="5" t="inlineStr">
        <is>
          <t>合計チェック</t>
        </is>
      </c>
    </row>
    <row r="6">
      <c r="B6" s="6" t="inlineStr">
        <is>
          <t>R1</t>
        </is>
      </c>
      <c r="C6" s="11" t="inlineStr"/>
      <c r="D6" s="11" t="inlineStr"/>
      <c r="E6" s="11" t="inlineStr"/>
      <c r="F6" s="11" t="inlineStr"/>
      <c r="G6" s="11" t="inlineStr"/>
      <c r="H6" s="12">
        <f>SUM(C6:G6)</f>
        <v/>
      </c>
    </row>
    <row r="7">
      <c r="B7" s="8" t="inlineStr">
        <is>
          <t>R2</t>
        </is>
      </c>
      <c r="C7" s="13" t="inlineStr"/>
      <c r="D7" s="13" t="inlineStr"/>
      <c r="E7" s="13" t="inlineStr"/>
      <c r="F7" s="13" t="inlineStr"/>
      <c r="G7" s="13" t="inlineStr"/>
      <c r="H7" s="14">
        <f>SUM(C7:G7)</f>
        <v/>
      </c>
    </row>
    <row r="8">
      <c r="B8" s="6" t="inlineStr">
        <is>
          <t>R3</t>
        </is>
      </c>
      <c r="C8" s="11" t="inlineStr"/>
      <c r="D8" s="11" t="inlineStr"/>
      <c r="E8" s="11" t="inlineStr"/>
      <c r="F8" s="11" t="inlineStr"/>
      <c r="G8" s="11" t="inlineStr"/>
      <c r="H8" s="12">
        <f>SUM(C8:G8)</f>
        <v/>
      </c>
    </row>
    <row r="9">
      <c r="B9" s="8" t="inlineStr">
        <is>
          <t>R4</t>
        </is>
      </c>
      <c r="C9" s="13" t="inlineStr"/>
      <c r="D9" s="13" t="inlineStr"/>
      <c r="E9" s="13" t="inlineStr"/>
      <c r="F9" s="13" t="inlineStr"/>
      <c r="G9" s="13" t="inlineStr"/>
      <c r="H9" s="14">
        <f>SUM(C9:G9)</f>
        <v/>
      </c>
    </row>
    <row r="10">
      <c r="B10" s="6" t="inlineStr">
        <is>
          <t>R5</t>
        </is>
      </c>
      <c r="C10" s="11" t="inlineStr"/>
      <c r="D10" s="11" t="inlineStr"/>
      <c r="E10" s="11" t="inlineStr"/>
      <c r="F10" s="11" t="inlineStr"/>
      <c r="G10" s="11" t="inlineStr"/>
      <c r="H10" s="12">
        <f>SUM(C10:G10)</f>
        <v/>
      </c>
    </row>
    <row r="11">
      <c r="B11" s="8" t="inlineStr">
        <is>
          <t>R6</t>
        </is>
      </c>
      <c r="C11" s="13" t="inlineStr"/>
      <c r="D11" s="13" t="inlineStr"/>
      <c r="E11" s="13" t="inlineStr"/>
      <c r="F11" s="13" t="inlineStr"/>
      <c r="G11" s="13" t="inlineStr"/>
      <c r="H11" s="14">
        <f>SUM(C11:G11)</f>
        <v/>
      </c>
    </row>
    <row r="12">
      <c r="B12" s="6" t="inlineStr">
        <is>
          <t>R7</t>
        </is>
      </c>
      <c r="C12" s="11" t="inlineStr"/>
      <c r="D12" s="11" t="inlineStr"/>
      <c r="E12" s="11" t="inlineStr"/>
      <c r="F12" s="11" t="inlineStr"/>
      <c r="G12" s="11" t="inlineStr"/>
      <c r="H12" s="12">
        <f>SUM(C12:G12)</f>
        <v/>
      </c>
    </row>
    <row r="13">
      <c r="B13" s="8" t="inlineStr">
        <is>
          <t>R8</t>
        </is>
      </c>
      <c r="C13" s="13" t="inlineStr"/>
      <c r="D13" s="13" t="inlineStr"/>
      <c r="E13" s="13" t="inlineStr"/>
      <c r="F13" s="13" t="inlineStr"/>
      <c r="G13" s="13" t="inlineStr"/>
      <c r="H13" s="14">
        <f>SUM(C13:G13)</f>
        <v/>
      </c>
    </row>
    <row r="14">
      <c r="B14" s="15" t="inlineStr">
        <is>
          <t>合計</t>
        </is>
      </c>
      <c r="C14" s="16">
        <f>SUM(C6:C13)</f>
        <v/>
      </c>
      <c r="D14" s="16">
        <f>SUM(D6:D13)</f>
        <v/>
      </c>
      <c r="E14" s="16">
        <f>SUM(E6:E13)</f>
        <v/>
      </c>
      <c r="F14" s="16">
        <f>SUM(F6:F13)</f>
        <v/>
      </c>
      <c r="G14" s="16">
        <f>SUM(G6:G13)</f>
        <v/>
      </c>
    </row>
    <row r="16">
      <c r="B16" s="4" t="inlineStr">
        <is>
          <t>コンセプトシェア（自社）</t>
        </is>
      </c>
      <c r="C16" s="17">
        <f>IF(SUM(C6:G13)=0,"",C14/SUM(C14:G14))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30" customWidth="1" min="4" max="4"/>
  </cols>
  <sheetData>
    <row r="1">
      <c r="B1" s="1" t="inlineStr">
        <is>
          <t>FORECAST</t>
        </is>
      </c>
    </row>
    <row r="2">
      <c r="B2" s="2" t="inlineStr">
        <is>
          <t>ユニットシェア・売上予測</t>
        </is>
      </c>
    </row>
    <row r="5">
      <c r="B5" s="7" t="inlineStr">
        <is>
          <t>認知率（%）</t>
        </is>
      </c>
      <c r="C5" s="18" t="inlineStr"/>
    </row>
    <row r="6">
      <c r="B6" s="7" t="inlineStr">
        <is>
          <t>配荷率（%）</t>
        </is>
      </c>
      <c r="C6" s="18" t="n">
        <v>0.6</v>
      </c>
    </row>
    <row r="7">
      <c r="B7" s="7" t="inlineStr">
        <is>
          <t>コンセプトシェア（集計シートから）</t>
        </is>
      </c>
      <c r="C7" s="11" t="inlineStr"/>
    </row>
    <row r="8">
      <c r="B8" s="7" t="inlineStr">
        <is>
          <t>Price Adj.（価格弾力性調整）</t>
        </is>
      </c>
      <c r="C8" s="18" t="n">
        <v>0.9</v>
      </c>
    </row>
    <row r="9">
      <c r="B9" s="7" t="inlineStr">
        <is>
          <t>市場規模（円）</t>
        </is>
      </c>
      <c r="C9" s="11" t="inlineStr"/>
    </row>
    <row r="10">
      <c r="B10" s="7" t="inlineStr">
        <is>
          <t>販売単価（円/個）</t>
        </is>
      </c>
      <c r="C10" s="11" t="inlineStr"/>
    </row>
    <row r="11">
      <c r="B11" s="15" t="inlineStr">
        <is>
          <t>ユニットシェア ＝ 認知 × 配荷 × CS × PriceAdj</t>
        </is>
      </c>
      <c r="C11" s="19">
        <f>C5*C6*C7*C8</f>
        <v/>
      </c>
    </row>
    <row r="12">
      <c r="B12" s="4" t="inlineStr">
        <is>
          <t>売上予測 ＝ 市場規模 × ユニットシェア</t>
        </is>
      </c>
      <c r="C12" s="20">
        <f>C9*C11</f>
        <v/>
      </c>
    </row>
    <row r="14">
      <c r="B14" s="3" t="inlineStr">
        <is>
          <t>※ コンセプトシェアは『集計シート』の値を手入力。物理制約（スループット上限）を超える場合は別途割引補正すること。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2026-07-09T06:53:35Z</dcterms:created>
  <dcterms:modified xmlns:dcterms="http://purl.org/dc/terms/" xmlns:xsi="http://www.w3.org/2001/XMLSchema-instance" xsi:type="dcterms:W3CDTF">2026-07-09T06:53:35Z</dcterms:modified>
</cp:coreProperties>
</file>